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  <sheet name="ccusage_repor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<sst xmlns="http://schemas.openxmlformats.org/spreadsheetml/2006/main" count="87" uniqueCount="51">
  <si>
    <t xml:space="preserve"># TOKENS BURN RATE LIMIT</t>
  </si>
  <si>
    <t xml:space="preserve"># PRICES</t>
  </si>
  <si>
    <t xml:space="preserve"># CACHE LIMIT</t>
  </si>
  <si>
    <t xml:space="preserve">Claude</t>
  </si>
  <si>
    <t xml:space="preserve">Gemini (1)</t>
  </si>
  <si>
    <t xml:space="preserve">Claude_Haiku_4_5</t>
  </si>
  <si>
    <t xml:space="preserve">Claude_Sonnet_4_5</t>
  </si>
  <si>
    <t xml:space="preserve">Claude_Opus_4_5</t>
  </si>
  <si>
    <t xml:space="preserve">Gemini_Flash_3_0</t>
  </si>
  <si>
    <t xml:space="preserve">Gemini_Pro_3_0</t>
  </si>
  <si>
    <t xml:space="preserve">Plan</t>
  </si>
  <si>
    <t xml:space="preserve">Messages (0)</t>
  </si>
  <si>
    <t xml:space="preserve">Tokens</t>
  </si>
  <si>
    <t xml:space="preserve">Messages</t>
  </si>
  <si>
    <t xml:space="preserve">Type</t>
  </si>
  <si>
    <t xml:space="preserve">Token Type</t>
  </si>
  <si>
    <t xml:space="preserve">Price</t>
  </si>
  <si>
    <t xml:space="preserve">Max Context W</t>
  </si>
  <si>
    <t xml:space="preserve">Reset</t>
  </si>
  <si>
    <t xml:space="preserve">Cache Storage Price</t>
  </si>
  <si>
    <t xml:space="preserve">Pro (H+O+S)</t>
  </si>
  <si>
    <t xml:space="preserve">Flash_3_5</t>
  </si>
  <si>
    <t xml:space="preserve">$/1M Tokens</t>
  </si>
  <si>
    <t xml:space="preserve">Input (no Cache)</t>
  </si>
  <si>
    <t xml:space="preserve">no limit</t>
  </si>
  <si>
    <t xml:space="preserve">24h</t>
  </si>
  <si>
    <t xml:space="preserve">Max 5x (H+O+S)</t>
  </si>
  <si>
    <t xml:space="preserve">Pro_3_5</t>
  </si>
  <si>
    <t xml:space="preserve">Cache Create</t>
  </si>
  <si>
    <t xml:space="preserve">Max 20x (H+O+S)</t>
  </si>
  <si>
    <t xml:space="preserve">-</t>
  </si>
  <si>
    <t xml:space="preserve">Cache Read</t>
  </si>
  <si>
    <t xml:space="preserve">Output</t>
  </si>
  <si>
    <t xml:space="preserve">$/1M Tokens/hr</t>
  </si>
  <si>
    <t xml:space="preserve">Cache Storage</t>
  </si>
  <si>
    <t xml:space="preserve">(0) Assuming 2,000 tokens per message</t>
  </si>
  <si>
    <t xml:space="preserve">(1) Standardized with Claude by dividing it 24h window by 3, assuming 3 windows of 5h per day.</t>
  </si>
  <si>
    <t xml:space="preserve"># DATA</t>
  </si>
  <si>
    <t xml:space="preserve">date</t>
  </si>
  <si>
    <t xml:space="preserve">input</t>
  </si>
  <si>
    <t xml:space="preserve">output</t>
  </si>
  <si>
    <t xml:space="preserve">cache_read</t>
  </si>
  <si>
    <t xml:space="preserve">cache_create</t>
  </si>
  <si>
    <t xml:space="preserve">total_plan</t>
  </si>
  <si>
    <t xml:space="preserve">total_api</t>
  </si>
  <si>
    <t xml:space="preserve">cost_plan</t>
  </si>
  <si>
    <t xml:space="preserve">cost_api</t>
  </si>
  <si>
    <t xml:space="preserve">pct_plan</t>
  </si>
  <si>
    <t xml:space="preserve">time_hours</t>
  </si>
  <si>
    <t xml:space="preserve">burn_cost_12h</t>
  </si>
  <si>
    <t xml:space="preserve">burn_tokens_per_hour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</si>
</sst>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yyyy\-mm\-dd"/>
    <numFmt numFmtId="168" formatCode="[$$-409]#,##0.00;[RED]\-[$$-409]#,##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6"/>
      <color rgb="FFB2B2B2"/>
      <name val="Arial"/>
      <family val="2"/>
      <charset val="1"/>
    </font>
    <font>
      <sz val="8"/>
      <name val="Arial"/>
      <family val="2"/>
      <charset val="1"/>
    </font>
    <font>
      <b val="true"/>
      <sz val="10"/>
      <color rgb="FF2A609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"/>
  <sheetViews>
    <sheetView showFormulas="false" showGridLines="false" showRowColHeaders="true" showZeros="true" rightToLeft="false" tabSelected="true" showOutlineSymbols="true" defaultGridColor="true" view="normal" topLeftCell="G1" colorId="64" zoomScale="160" zoomScaleNormal="160" zoomScalePageLayoutView="100" workbookViewId="0">
      <selection pane="topLeft" activeCell="W5" activeCellId="0" sqref="W5"/>
    </sheetView>
  </sheetViews>
  <sheetFormatPr defaultColWidth="10.95703125" defaultRowHeight="12.8" zeroHeight="false" outlineLevelRow="0" outlineLevelCol="0"/>
  <cols>
    <col collapsed="false" customWidth="true" hidden="false" outlineLevel="0" max="21" min="21" style="0" width="11.53"/>
  </cols>
  <sheetData>
    <row r="1" customFormat="false" ht="12.8" hidden="false" customHeight="false" outlineLevel="0" collapsed="false">
      <c r="C1" s="1"/>
      <c r="D1" s="1"/>
      <c r="J1" s="1"/>
      <c r="K1" s="1"/>
    </row>
    <row r="2" customFormat="false" ht="12.8" hidden="false" customHeight="false" outlineLevel="0" collapsed="false">
      <c r="A2" s="1" t="s">
        <v>0</v>
      </c>
      <c r="C2" s="1"/>
      <c r="D2" s="1"/>
      <c r="H2" s="1" t="s">
        <v>1</v>
      </c>
      <c r="J2" s="1"/>
      <c r="K2" s="1"/>
      <c r="P2" s="1" t="s">
        <v>2</v>
      </c>
    </row>
    <row r="3" customFormat="false" ht="12.8" hidden="false" customHeight="false" outlineLevel="0" collapsed="false">
      <c r="B3" s="1" t="s">
        <v>3</v>
      </c>
      <c r="D3" s="1" t="s">
        <v>4</v>
      </c>
      <c r="J3" s="1" t="s">
        <v>5</v>
      </c>
      <c r="K3" s="1" t="s">
        <v>6</v>
      </c>
      <c r="L3" s="1" t="s">
        <v>7</v>
      </c>
      <c r="M3" s="1" t="s">
        <v>8</v>
      </c>
      <c r="N3" s="1" t="s">
        <v>9</v>
      </c>
      <c r="Q3" s="1" t="s">
        <v>3</v>
      </c>
      <c r="U3" s="1" t="s">
        <v>4</v>
      </c>
    </row>
    <row r="4" customFormat="false" ht="12.8" hidden="false" customHeight="false" outlineLevel="0" collapsed="false">
      <c r="A4" s="2" t="s">
        <v>10</v>
      </c>
      <c r="B4" s="2" t="s">
        <v>11</v>
      </c>
      <c r="C4" s="2" t="s">
        <v>12</v>
      </c>
      <c r="D4" s="2" t="s">
        <v>10</v>
      </c>
      <c r="E4" s="2" t="s">
        <v>13</v>
      </c>
      <c r="F4" s="2" t="s">
        <v>12</v>
      </c>
      <c r="H4" s="2" t="s">
        <v>14</v>
      </c>
      <c r="I4" s="2" t="s">
        <v>15</v>
      </c>
      <c r="J4" s="2" t="s">
        <v>16</v>
      </c>
      <c r="K4" s="2" t="s">
        <v>16</v>
      </c>
      <c r="L4" s="2" t="s">
        <v>16</v>
      </c>
      <c r="M4" s="2" t="s">
        <v>16</v>
      </c>
      <c r="N4" s="2" t="s">
        <v>16</v>
      </c>
      <c r="P4" s="2" t="s">
        <v>10</v>
      </c>
      <c r="Q4" s="2" t="s">
        <v>17</v>
      </c>
      <c r="R4" s="2" t="s">
        <v>18</v>
      </c>
      <c r="S4" s="2" t="s">
        <v>19</v>
      </c>
      <c r="T4" s="2" t="s">
        <v>10</v>
      </c>
      <c r="U4" s="2" t="s">
        <v>17</v>
      </c>
      <c r="V4" s="2" t="s">
        <v>18</v>
      </c>
      <c r="W4" s="2" t="s">
        <v>19</v>
      </c>
    </row>
    <row r="5" customFormat="false" ht="12.8" hidden="false" customHeight="false" outlineLevel="0" collapsed="false">
      <c r="A5" s="3" t="s">
        <v>20</v>
      </c>
      <c r="B5" s="3" t="n">
        <v>45</v>
      </c>
      <c r="C5" s="4" t="n">
        <f aca="false">2000*B5</f>
        <v>90000</v>
      </c>
      <c r="D5" s="3" t="s">
        <v>21</v>
      </c>
      <c r="E5" s="3" t="n">
        <v>166</v>
      </c>
      <c r="F5" s="4" t="n">
        <f aca="false">2000*E5</f>
        <v>332000</v>
      </c>
      <c r="H5" s="5" t="s">
        <v>22</v>
      </c>
      <c r="I5" s="3" t="s">
        <v>23</v>
      </c>
      <c r="J5" s="6" t="n">
        <v>0.8</v>
      </c>
      <c r="K5" s="6" t="n">
        <v>3</v>
      </c>
      <c r="L5" s="6" t="n">
        <v>15</v>
      </c>
      <c r="M5" s="6" t="n">
        <v>1.25</v>
      </c>
      <c r="N5" s="6" t="n">
        <v>1.25</v>
      </c>
      <c r="P5" s="3" t="s">
        <v>20</v>
      </c>
      <c r="Q5" s="4" t="n">
        <v>200000</v>
      </c>
      <c r="R5" s="3" t="s">
        <v>24</v>
      </c>
      <c r="S5" s="6" t="n">
        <f aca="false">J9</f>
        <v>0.01</v>
      </c>
      <c r="T5" s="3" t="s">
        <v>8</v>
      </c>
      <c r="U5" s="6" t="n">
        <v>1000000</v>
      </c>
      <c r="V5" s="3" t="s">
        <v>25</v>
      </c>
      <c r="W5" s="7" t="n">
        <f aca="false">M9</f>
        <v>1</v>
      </c>
    </row>
    <row r="6" customFormat="false" ht="12.8" hidden="false" customHeight="false" outlineLevel="0" collapsed="false">
      <c r="A6" s="3" t="s">
        <v>26</v>
      </c>
      <c r="B6" s="3" t="n">
        <v>225</v>
      </c>
      <c r="C6" s="4" t="n">
        <f aca="false">2000*B6</f>
        <v>450000</v>
      </c>
      <c r="D6" s="3" t="s">
        <v>27</v>
      </c>
      <c r="E6" s="3" t="n">
        <v>33</v>
      </c>
      <c r="F6" s="4" t="n">
        <f aca="false">2000*E6</f>
        <v>66000</v>
      </c>
      <c r="H6" s="5" t="s">
        <v>22</v>
      </c>
      <c r="I6" s="3" t="s">
        <v>28</v>
      </c>
      <c r="J6" s="6" t="n">
        <v>1</v>
      </c>
      <c r="K6" s="6" t="n">
        <v>3.75</v>
      </c>
      <c r="L6" s="6" t="n">
        <v>18.75</v>
      </c>
      <c r="M6" s="6" t="n">
        <v>1.25</v>
      </c>
      <c r="N6" s="6" t="n">
        <v>1.25</v>
      </c>
      <c r="Q6" s="4"/>
      <c r="T6" s="3" t="s">
        <v>9</v>
      </c>
      <c r="U6" s="6" t="n">
        <v>1000000</v>
      </c>
      <c r="V6" s="3" t="s">
        <v>25</v>
      </c>
      <c r="W6" s="3" t="n">
        <f aca="false">N9</f>
        <v>4.5</v>
      </c>
    </row>
    <row r="7" customFormat="false" ht="12.8" hidden="false" customHeight="false" outlineLevel="0" collapsed="false">
      <c r="A7" s="3" t="s">
        <v>29</v>
      </c>
      <c r="B7" s="3" t="n">
        <v>900</v>
      </c>
      <c r="C7" s="4" t="n">
        <f aca="false">2000*B7</f>
        <v>1800000</v>
      </c>
      <c r="D7" s="3" t="s">
        <v>30</v>
      </c>
      <c r="F7" s="3" t="s">
        <v>30</v>
      </c>
      <c r="H7" s="5" t="s">
        <v>22</v>
      </c>
      <c r="I7" s="3" t="s">
        <v>31</v>
      </c>
      <c r="J7" s="6" t="n">
        <v>0.08</v>
      </c>
      <c r="K7" s="6" t="n">
        <v>0.3</v>
      </c>
      <c r="L7" s="6" t="n">
        <v>1.5</v>
      </c>
      <c r="M7" s="6" t="n">
        <v>0.31</v>
      </c>
      <c r="N7" s="6" t="n">
        <v>0.31</v>
      </c>
      <c r="Q7" s="4"/>
      <c r="U7" s="3" t="s">
        <v>30</v>
      </c>
      <c r="V7" s="3" t="s">
        <v>25</v>
      </c>
    </row>
    <row r="8" customFormat="false" ht="12.8" hidden="false" customHeight="false" outlineLevel="0" collapsed="false">
      <c r="H8" s="5" t="s">
        <v>22</v>
      </c>
      <c r="I8" s="3" t="s">
        <v>32</v>
      </c>
      <c r="J8" s="6" t="n">
        <v>4</v>
      </c>
      <c r="K8" s="6" t="n">
        <v>15</v>
      </c>
      <c r="L8" s="6" t="n">
        <v>75</v>
      </c>
      <c r="M8" s="6" t="n">
        <v>5</v>
      </c>
      <c r="N8" s="6" t="n">
        <v>5</v>
      </c>
    </row>
    <row r="9" customFormat="false" ht="12.8" hidden="false" customHeight="false" outlineLevel="0" collapsed="false">
      <c r="H9" s="5" t="s">
        <v>33</v>
      </c>
      <c r="I9" s="3" t="s">
        <v>34</v>
      </c>
      <c r="J9" s="6" t="n">
        <v>0.01</v>
      </c>
      <c r="K9" s="6" t="n">
        <v>0.01</v>
      </c>
      <c r="L9" s="6" t="n">
        <v>0.01</v>
      </c>
      <c r="M9" s="6" t="n">
        <v>1</v>
      </c>
      <c r="N9" s="6" t="n">
        <v>4.5</v>
      </c>
    </row>
    <row r="10" customFormat="false" ht="12.8" hidden="false" customHeight="false" outlineLevel="0" collapsed="false">
      <c r="A10" s="8" t="s">
        <v>35</v>
      </c>
      <c r="H10" s="5"/>
      <c r="J10" s="6"/>
      <c r="K10" s="6"/>
      <c r="L10" s="6"/>
      <c r="M10" s="6"/>
      <c r="N10" s="6"/>
    </row>
    <row r="11" customFormat="false" ht="12.8" hidden="false" customHeight="false" outlineLevel="0" collapsed="false">
      <c r="A11" s="8" t="s">
        <v>36</v>
      </c>
    </row>
    <row r="12" customFormat="false" ht="12.8" hidden="false" customHeight="false" outlineLevel="0" collapsed="false">
      <c r="A12" s="8"/>
    </row>
    <row r="13" customFormat="false" ht="12.8" hidden="false" customHeight="false" outlineLevel="0" collapsed="false">
      <c r="A13" s="1" t="s">
        <v>37</v>
      </c>
    </row>
    <row r="15" customFormat="false" ht="12.8" hidden="false" customHeight="false" outlineLevel="0" collapsed="false">
      <c r="A15" s="2" t="s">
        <v>38</v>
      </c>
      <c r="B15" s="2" t="s">
        <v>39</v>
      </c>
      <c r="C15" s="2" t="s">
        <v>40</v>
      </c>
      <c r="D15" s="2" t="s">
        <v>41</v>
      </c>
      <c r="E15" s="2" t="s">
        <v>42</v>
      </c>
      <c r="F15" s="9" t="s">
        <v>43</v>
      </c>
      <c r="G15" s="10" t="s">
        <v>44</v>
      </c>
      <c r="H15" s="9" t="s">
        <v>45</v>
      </c>
      <c r="I15" s="2" t="s">
        <v>46</v>
      </c>
      <c r="J15" s="9" t="s">
        <v>47</v>
      </c>
      <c r="K15" s="2" t="s">
        <v>48</v>
      </c>
      <c r="L15" s="9" t="s">
        <v>49</v>
      </c>
      <c r="M15" s="2" t="s">
        <v>50</v>
      </c>
    </row>
    <row r="16" customFormat="false" ht="12.8" hidden="false" customHeight="false" outlineLevel="0" collapsed="false">
      <c r="A16" s="11" t="n">
        <v>45974</v>
      </c>
      <c r="B16" s="4" t="n">
        <v>13063</v>
      </c>
      <c r="C16" s="4" t="n">
        <v>166424</v>
      </c>
      <c r="D16" s="4" t="n">
        <v>18842908</v>
      </c>
      <c r="E16" s="4" t="n">
        <v>1394267</v>
      </c>
      <c r="F16" s="12" t="n">
        <v>179487</v>
      </c>
      <c r="G16" s="13" t="n">
        <v>20416662</v>
      </c>
      <c r="H16" s="14" t="n">
        <v>2.54</v>
      </c>
      <c r="I16" s="15" t="n">
        <v>13.39</v>
      </c>
      <c r="J16" s="12" t="n">
        <v>26.6</v>
      </c>
      <c r="K16" s="4" t="n">
        <v>5.7</v>
      </c>
      <c r="L16" s="14" t="n">
        <v>5.37</v>
      </c>
      <c r="M16" s="4" t="n">
        <v>31672</v>
      </c>
    </row>
    <row r="17" customFormat="false" ht="12.8" hidden="false" customHeight="false" outlineLevel="0" collapsed="false">
      <c r="A17" s="11" t="n">
        <v>45975</v>
      </c>
      <c r="B17" s="4" t="n">
        <v>22223</v>
      </c>
      <c r="C17" s="4" t="n">
        <v>185250</v>
      </c>
      <c r="D17" s="4" t="n">
        <v>24816417</v>
      </c>
      <c r="E17" s="4" t="n">
        <v>2257786</v>
      </c>
      <c r="F17" s="12" t="n">
        <v>207473</v>
      </c>
      <c r="G17" s="13" t="n">
        <v>27281676</v>
      </c>
      <c r="H17" s="14" t="n">
        <v>2.85</v>
      </c>
      <c r="I17" s="15" t="n">
        <v>18.74</v>
      </c>
      <c r="J17" s="12" t="n">
        <v>30.7</v>
      </c>
      <c r="K17" s="4" t="n">
        <v>7.3</v>
      </c>
      <c r="L17" s="14" t="n">
        <v>4.69</v>
      </c>
      <c r="M17" s="4" t="n">
        <v>28498</v>
      </c>
    </row>
    <row r="18" customFormat="false" ht="12.8" hidden="false" customHeight="false" outlineLevel="0" collapsed="false">
      <c r="A18" s="11" t="n">
        <v>45976</v>
      </c>
      <c r="B18" s="4" t="n">
        <v>43786</v>
      </c>
      <c r="C18" s="4" t="n">
        <v>168350</v>
      </c>
      <c r="D18" s="4" t="n">
        <v>25089929</v>
      </c>
      <c r="E18" s="4" t="n">
        <v>2096877</v>
      </c>
      <c r="F18" s="12" t="n">
        <v>212136</v>
      </c>
      <c r="G18" s="13" t="n">
        <v>27398942</v>
      </c>
      <c r="H18" s="14" t="n">
        <v>2.66</v>
      </c>
      <c r="I18" s="15" t="n">
        <v>18.01</v>
      </c>
      <c r="J18" s="12" t="n">
        <v>31.4</v>
      </c>
      <c r="K18" s="4" t="n">
        <v>5.3</v>
      </c>
      <c r="L18" s="14" t="n">
        <v>6.07</v>
      </c>
      <c r="M18" s="4" t="n">
        <v>40358</v>
      </c>
    </row>
    <row r="19" customFormat="false" ht="12.8" hidden="false" customHeight="false" outlineLevel="0" collapsed="false">
      <c r="A19" s="11" t="n">
        <v>45977</v>
      </c>
      <c r="B19" s="4" t="n">
        <v>17178</v>
      </c>
      <c r="C19" s="4" t="n">
        <v>198341</v>
      </c>
      <c r="D19" s="4" t="n">
        <v>29093278</v>
      </c>
      <c r="E19" s="4" t="n">
        <v>2072723</v>
      </c>
      <c r="F19" s="12" t="n">
        <v>215519</v>
      </c>
      <c r="G19" s="13" t="n">
        <v>31381520</v>
      </c>
      <c r="H19" s="14" t="n">
        <v>3.03</v>
      </c>
      <c r="I19" s="15" t="n">
        <v>19.52</v>
      </c>
      <c r="J19" s="12" t="n">
        <v>31.9</v>
      </c>
      <c r="K19" s="4" t="n">
        <v>5.7</v>
      </c>
      <c r="L19" s="14" t="n">
        <v>6.42</v>
      </c>
      <c r="M19" s="4" t="n">
        <v>38084</v>
      </c>
    </row>
    <row r="20" customFormat="false" ht="12.8" hidden="false" customHeight="false" outlineLevel="0" collapsed="false">
      <c r="A20" s="11" t="n">
        <v>45978</v>
      </c>
      <c r="B20" s="4" t="n">
        <v>11894</v>
      </c>
      <c r="C20" s="4" t="n">
        <v>164400</v>
      </c>
      <c r="D20" s="4" t="n">
        <v>19717657</v>
      </c>
      <c r="E20" s="4" t="n">
        <v>2213330</v>
      </c>
      <c r="F20" s="12" t="n">
        <v>176294</v>
      </c>
      <c r="G20" s="13" t="n">
        <v>22107281</v>
      </c>
      <c r="H20" s="14" t="n">
        <v>2.5</v>
      </c>
      <c r="I20" s="15" t="n">
        <v>16.71</v>
      </c>
      <c r="J20" s="12" t="n">
        <v>26.1</v>
      </c>
      <c r="K20" s="4" t="n">
        <v>4.3</v>
      </c>
      <c r="L20" s="14" t="n">
        <v>7.03</v>
      </c>
      <c r="M20" s="4" t="n">
        <v>41256</v>
      </c>
    </row>
    <row r="21" customFormat="false" ht="12.8" hidden="false" customHeight="false" outlineLevel="0" collapsed="false">
      <c r="A21" s="11" t="n">
        <v>45984</v>
      </c>
      <c r="B21" s="4" t="n">
        <v>8169</v>
      </c>
      <c r="C21" s="4" t="n">
        <v>156254</v>
      </c>
      <c r="D21" s="4" t="n">
        <v>31407437</v>
      </c>
      <c r="E21" s="4" t="n">
        <v>2088326</v>
      </c>
      <c r="F21" s="12" t="n">
        <v>164423</v>
      </c>
      <c r="G21" s="13" t="n">
        <v>33660186</v>
      </c>
      <c r="H21" s="14" t="n">
        <v>2.37</v>
      </c>
      <c r="I21" s="15" t="n">
        <v>19.62</v>
      </c>
      <c r="J21" s="12" t="n">
        <v>24.4</v>
      </c>
      <c r="K21" s="4" t="n">
        <v>6.7</v>
      </c>
      <c r="L21" s="14" t="n">
        <v>4.24</v>
      </c>
      <c r="M21" s="4" t="n">
        <v>24501</v>
      </c>
    </row>
    <row r="22" customFormat="false" ht="12.8" hidden="false" customHeight="false" outlineLevel="0" collapsed="false">
      <c r="A22" s="11" t="n">
        <v>45985</v>
      </c>
      <c r="B22" s="4" t="n">
        <v>32301</v>
      </c>
      <c r="C22" s="4" t="n">
        <v>109557</v>
      </c>
      <c r="D22" s="4" t="n">
        <v>51270286</v>
      </c>
      <c r="E22" s="4" t="n">
        <v>4623208</v>
      </c>
      <c r="F22" s="12" t="n">
        <v>141858</v>
      </c>
      <c r="G22" s="13" t="n">
        <v>56035352</v>
      </c>
      <c r="H22" s="14" t="n">
        <v>1.74</v>
      </c>
      <c r="I22" s="15" t="n">
        <v>34.45</v>
      </c>
      <c r="J22" s="12" t="n">
        <v>21</v>
      </c>
      <c r="K22" s="4" t="n">
        <v>7.7</v>
      </c>
      <c r="L22" s="14" t="n">
        <v>2.72</v>
      </c>
      <c r="M22" s="4" t="n">
        <v>18503</v>
      </c>
    </row>
    <row r="23" customFormat="false" ht="12.8" hidden="false" customHeight="false" outlineLevel="0" collapsed="false">
      <c r="A23" s="11" t="n">
        <v>45986</v>
      </c>
      <c r="B23" s="4" t="n">
        <v>45916</v>
      </c>
      <c r="C23" s="4" t="n">
        <v>136091</v>
      </c>
      <c r="D23" s="4" t="n">
        <v>110246218</v>
      </c>
      <c r="E23" s="4" t="n">
        <v>8920870</v>
      </c>
      <c r="F23" s="12" t="n">
        <v>182007</v>
      </c>
      <c r="G23" s="13" t="n">
        <v>119349095</v>
      </c>
      <c r="H23" s="14" t="n">
        <v>2.18</v>
      </c>
      <c r="I23" s="15" t="n">
        <v>70.78</v>
      </c>
      <c r="J23" s="12" t="n">
        <v>27</v>
      </c>
      <c r="K23" s="4" t="n">
        <v>7.8</v>
      </c>
      <c r="L23" s="14" t="n">
        <v>3.36</v>
      </c>
      <c r="M23" s="4" t="n">
        <v>23376</v>
      </c>
    </row>
    <row r="24" customFormat="false" ht="12.8" hidden="false" customHeight="false" outlineLevel="0" collapsed="false">
      <c r="A24" s="11" t="n">
        <v>45987</v>
      </c>
      <c r="B24" s="4" t="n">
        <v>27291</v>
      </c>
      <c r="C24" s="4" t="n">
        <v>24381</v>
      </c>
      <c r="D24" s="4" t="n">
        <v>78112212</v>
      </c>
      <c r="E24" s="4" t="n">
        <v>8172191</v>
      </c>
      <c r="F24" s="12" t="n">
        <v>51672</v>
      </c>
      <c r="G24" s="13" t="n">
        <v>86336075</v>
      </c>
      <c r="H24" s="14" t="n">
        <v>0.45</v>
      </c>
      <c r="I24" s="15" t="n">
        <v>90.48</v>
      </c>
      <c r="J24" s="12" t="n">
        <v>7.7</v>
      </c>
      <c r="K24" s="4" t="n">
        <v>7.2</v>
      </c>
      <c r="L24" s="14" t="n">
        <v>0.74</v>
      </c>
      <c r="M24" s="4" t="n">
        <v>7166</v>
      </c>
    </row>
    <row r="25" customFormat="false" ht="12.8" hidden="false" customHeight="false" outlineLevel="0" collapsed="false">
      <c r="A25" s="11" t="n">
        <v>45988</v>
      </c>
      <c r="B25" s="4" t="n">
        <v>118850</v>
      </c>
      <c r="C25" s="4" t="n">
        <v>151551</v>
      </c>
      <c r="D25" s="4" t="n">
        <v>152404293</v>
      </c>
      <c r="E25" s="4" t="n">
        <v>10170229</v>
      </c>
      <c r="F25" s="12" t="n">
        <v>270401</v>
      </c>
      <c r="G25" s="13" t="n">
        <v>162844923</v>
      </c>
      <c r="H25" s="14" t="n">
        <v>2.63</v>
      </c>
      <c r="I25" s="15" t="n">
        <v>144.01</v>
      </c>
      <c r="J25" s="12" t="n">
        <v>40.1</v>
      </c>
      <c r="K25" s="4" t="n">
        <v>13.5</v>
      </c>
      <c r="L25" s="14" t="n">
        <v>2.35</v>
      </c>
      <c r="M25" s="4" t="n">
        <v>20103</v>
      </c>
    </row>
    <row r="26" customFormat="false" ht="12.8" hidden="false" customHeight="false" outlineLevel="0" collapsed="false">
      <c r="A26" s="11" t="n">
        <v>45989</v>
      </c>
      <c r="B26" s="4" t="n">
        <v>39652</v>
      </c>
      <c r="C26" s="4" t="n">
        <v>286808</v>
      </c>
      <c r="D26" s="4" t="n">
        <v>137087887</v>
      </c>
      <c r="E26" s="4" t="n">
        <v>7158871</v>
      </c>
      <c r="F26" s="12" t="n">
        <v>326460</v>
      </c>
      <c r="G26" s="13" t="n">
        <v>144573218</v>
      </c>
      <c r="H26" s="14" t="n">
        <v>4.42</v>
      </c>
      <c r="I26" s="15" t="n">
        <v>120.38</v>
      </c>
      <c r="J26" s="12" t="n">
        <v>48.4</v>
      </c>
      <c r="K26" s="4" t="n">
        <v>8</v>
      </c>
      <c r="L26" s="14" t="n">
        <v>6.66</v>
      </c>
      <c r="M26" s="4" t="n">
        <v>40993</v>
      </c>
    </row>
    <row r="27" customFormat="false" ht="12.8" hidden="false" customHeight="false" outlineLevel="0" collapsed="false">
      <c r="A27" s="11" t="n">
        <v>45990</v>
      </c>
      <c r="B27" s="4" t="n">
        <v>52184</v>
      </c>
      <c r="C27" s="4" t="n">
        <v>237167</v>
      </c>
      <c r="D27" s="4" t="n">
        <v>136364075</v>
      </c>
      <c r="E27" s="4" t="n">
        <v>8317117</v>
      </c>
      <c r="F27" s="12" t="n">
        <v>289351</v>
      </c>
      <c r="G27" s="13" t="n">
        <v>144970543</v>
      </c>
      <c r="H27" s="14" t="n">
        <v>3.71</v>
      </c>
      <c r="I27" s="15" t="n">
        <v>123.89</v>
      </c>
      <c r="J27" s="12" t="n">
        <v>42.9</v>
      </c>
      <c r="K27" s="4" t="n">
        <v>10.2</v>
      </c>
      <c r="L27" s="14" t="n">
        <v>4.35</v>
      </c>
      <c r="M27" s="4" t="n">
        <v>28239</v>
      </c>
    </row>
    <row r="28" customFormat="false" ht="12.8" hidden="false" customHeight="false" outlineLevel="0" collapsed="false">
      <c r="A28" s="11" t="n">
        <v>45991</v>
      </c>
      <c r="B28" s="4" t="n">
        <v>12079</v>
      </c>
      <c r="C28" s="4" t="n">
        <v>64012</v>
      </c>
      <c r="D28" s="4" t="n">
        <v>36857187</v>
      </c>
      <c r="E28" s="4" t="n">
        <v>2537142</v>
      </c>
      <c r="F28" s="12" t="n">
        <v>76091</v>
      </c>
      <c r="G28" s="13" t="n">
        <v>39470420</v>
      </c>
      <c r="H28" s="14" t="n">
        <v>1</v>
      </c>
      <c r="I28" s="15" t="n">
        <v>35.48</v>
      </c>
      <c r="J28" s="12" t="n">
        <v>11.3</v>
      </c>
      <c r="K28" s="4" t="n">
        <v>4</v>
      </c>
      <c r="L28" s="14" t="n">
        <v>2.97</v>
      </c>
      <c r="M28" s="4" t="n">
        <v>18875</v>
      </c>
    </row>
    <row r="29" customFormat="false" ht="12.8" hidden="false" customHeight="false" outlineLevel="0" collapsed="false">
      <c r="A29" s="11" t="n">
        <v>45992</v>
      </c>
      <c r="B29" s="4" t="n">
        <v>37414</v>
      </c>
      <c r="C29" s="4" t="n">
        <v>75693</v>
      </c>
      <c r="D29" s="4" t="n">
        <v>30685315</v>
      </c>
      <c r="E29" s="4" t="n">
        <v>1998231</v>
      </c>
      <c r="F29" s="12" t="n">
        <v>113107</v>
      </c>
      <c r="G29" s="13" t="n">
        <v>32796653</v>
      </c>
      <c r="H29" s="14" t="n">
        <v>1.25</v>
      </c>
      <c r="I29" s="15" t="n">
        <v>28.69</v>
      </c>
      <c r="J29" s="12" t="n">
        <v>16.8</v>
      </c>
      <c r="K29" s="4" t="n">
        <v>2.7</v>
      </c>
      <c r="L29" s="14" t="n">
        <v>5.47</v>
      </c>
      <c r="M29" s="4" t="n">
        <v>41287</v>
      </c>
    </row>
    <row r="30" customFormat="false" ht="12.8" hidden="false" customHeight="false" outlineLevel="0" collapsed="false">
      <c r="A30" s="11" t="n">
        <v>45993</v>
      </c>
      <c r="B30" s="4" t="n">
        <v>31291</v>
      </c>
      <c r="C30" s="4" t="n">
        <v>102081</v>
      </c>
      <c r="D30" s="4" t="n">
        <v>69929579</v>
      </c>
      <c r="E30" s="4" t="n">
        <v>7044858</v>
      </c>
      <c r="F30" s="12" t="n">
        <v>133372</v>
      </c>
      <c r="G30" s="13" t="n">
        <v>77107809</v>
      </c>
      <c r="H30" s="14" t="n">
        <v>1.63</v>
      </c>
      <c r="I30" s="15" t="n">
        <v>81.68</v>
      </c>
      <c r="J30" s="12" t="n">
        <v>19.8</v>
      </c>
      <c r="K30" s="4" t="n">
        <v>7.7</v>
      </c>
      <c r="L30" s="14" t="n">
        <v>2.52</v>
      </c>
      <c r="M30" s="4" t="n">
        <v>17219</v>
      </c>
    </row>
    <row r="31" customFormat="false" ht="12.8" hidden="false" customHeight="false" outlineLevel="0" collapsed="false">
      <c r="A31" s="11" t="n">
        <v>45994</v>
      </c>
      <c r="B31" s="4" t="n">
        <v>89697</v>
      </c>
      <c r="C31" s="4" t="n">
        <v>293638</v>
      </c>
      <c r="D31" s="4" t="n">
        <v>170044957</v>
      </c>
      <c r="E31" s="4" t="n">
        <v>11857142</v>
      </c>
      <c r="F31" s="12" t="n">
        <v>383335</v>
      </c>
      <c r="G31" s="13" t="n">
        <v>182285434</v>
      </c>
      <c r="H31" s="14" t="n">
        <v>4.67</v>
      </c>
      <c r="I31" s="15" t="n">
        <v>166.91</v>
      </c>
      <c r="J31" s="12" t="n">
        <v>56.8</v>
      </c>
      <c r="K31" s="4" t="n">
        <v>13.4</v>
      </c>
      <c r="L31" s="14" t="n">
        <v>4.17</v>
      </c>
      <c r="M31" s="4" t="n">
        <v>28503</v>
      </c>
    </row>
    <row r="32" customFormat="false" ht="12.8" hidden="false" customHeight="false" outlineLevel="0" collapsed="false">
      <c r="A32" s="11" t="n">
        <v>45995</v>
      </c>
      <c r="B32" s="4" t="n">
        <v>10585</v>
      </c>
      <c r="C32" s="4" t="n">
        <v>67949</v>
      </c>
      <c r="D32" s="4" t="n">
        <v>38646464</v>
      </c>
      <c r="E32" s="4" t="n">
        <v>3405043</v>
      </c>
      <c r="F32" s="12" t="n">
        <v>78534</v>
      </c>
      <c r="G32" s="13" t="n">
        <v>42130041</v>
      </c>
      <c r="H32" s="14" t="n">
        <v>1.05</v>
      </c>
      <c r="I32" s="15" t="n">
        <v>42.36</v>
      </c>
      <c r="J32" s="12" t="n">
        <v>11.6</v>
      </c>
      <c r="K32" s="4" t="n">
        <v>4.2</v>
      </c>
      <c r="L32" s="14" t="n">
        <v>3.03</v>
      </c>
      <c r="M32" s="4" t="n">
        <v>18838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3" width="10.48"/>
    <col collapsed="false" customWidth="true" hidden="false" outlineLevel="0" max="4" min="4" style="3" width="13.95"/>
    <col collapsed="false" customWidth="true" hidden="false" outlineLevel="0" max="5" min="5" style="3" width="12.98"/>
    <col collapsed="false" customWidth="true" hidden="false" outlineLevel="0" max="6" min="6" style="3" width="10.48"/>
    <col collapsed="false" customWidth="true" hidden="false" outlineLevel="0" max="7" min="7" style="3" width="13.95"/>
    <col collapsed="false" customWidth="true" hidden="false" outlineLevel="0" max="8" min="8" style="3" width="9.36"/>
    <col collapsed="false" customWidth="true" hidden="false" outlineLevel="0" max="10" min="9" style="3" width="8.39"/>
    <col collapsed="false" customWidth="true" hidden="false" outlineLevel="0" max="11" min="11" style="3" width="10.48"/>
    <col collapsed="false" customWidth="true" hidden="false" outlineLevel="0" max="12" min="12" style="3" width="13.4"/>
    <col collapsed="false" customWidth="true" hidden="false" outlineLevel="0" max="13" min="13" style="3" width="19.38"/>
  </cols>
  <sheetData>
    <row r="1" customFormat="false" ht="12.8" hidden="false" customHeight="false" outlineLevel="0" collapsed="false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9" t="s">
        <v>43</v>
      </c>
      <c r="G1" s="10" t="s">
        <v>44</v>
      </c>
      <c r="H1" s="9" t="s">
        <v>45</v>
      </c>
      <c r="I1" s="2" t="s">
        <v>46</v>
      </c>
      <c r="J1" s="9" t="s">
        <v>47</v>
      </c>
      <c r="K1" s="2" t="s">
        <v>48</v>
      </c>
      <c r="L1" s="9" t="s">
        <v>49</v>
      </c>
      <c r="M1" s="2" t="s">
        <v>50</v>
      </c>
    </row>
    <row r="2" customFormat="false" ht="12.8" hidden="false" customHeight="false" outlineLevel="0" collapsed="false">
      <c r="A2" s="11" t="n">
        <v>45974</v>
      </c>
      <c r="B2" s="4" t="n">
        <v>13063</v>
      </c>
      <c r="C2" s="4" t="n">
        <v>166424</v>
      </c>
      <c r="D2" s="4" t="n">
        <v>18842908</v>
      </c>
      <c r="E2" s="4" t="n">
        <v>1394267</v>
      </c>
      <c r="F2" s="12" t="n">
        <v>179487</v>
      </c>
      <c r="G2" s="13" t="n">
        <v>20416662</v>
      </c>
      <c r="H2" s="14" t="n">
        <v>2.54</v>
      </c>
      <c r="I2" s="15" t="n">
        <v>13.39</v>
      </c>
      <c r="J2" s="12" t="n">
        <v>26.6</v>
      </c>
      <c r="K2" s="4" t="n">
        <v>5.7</v>
      </c>
      <c r="L2" s="14" t="n">
        <v>5.37</v>
      </c>
      <c r="M2" s="4" t="n">
        <v>31672</v>
      </c>
    </row>
    <row r="3" customFormat="false" ht="12.8" hidden="false" customHeight="false" outlineLevel="0" collapsed="false">
      <c r="A3" s="11" t="n">
        <v>45975</v>
      </c>
      <c r="B3" s="4" t="n">
        <v>22223</v>
      </c>
      <c r="C3" s="4" t="n">
        <v>185250</v>
      </c>
      <c r="D3" s="4" t="n">
        <v>24816417</v>
      </c>
      <c r="E3" s="4" t="n">
        <v>2257786</v>
      </c>
      <c r="F3" s="12" t="n">
        <v>207473</v>
      </c>
      <c r="G3" s="13" t="n">
        <v>27281676</v>
      </c>
      <c r="H3" s="14" t="n">
        <v>2.85</v>
      </c>
      <c r="I3" s="15" t="n">
        <v>18.74</v>
      </c>
      <c r="J3" s="12" t="n">
        <v>30.7</v>
      </c>
      <c r="K3" s="4" t="n">
        <v>7.3</v>
      </c>
      <c r="L3" s="14" t="n">
        <v>4.69</v>
      </c>
      <c r="M3" s="4" t="n">
        <v>28498</v>
      </c>
    </row>
    <row r="4" customFormat="false" ht="12.8" hidden="false" customHeight="false" outlineLevel="0" collapsed="false">
      <c r="A4" s="11" t="n">
        <v>45976</v>
      </c>
      <c r="B4" s="4" t="n">
        <v>43786</v>
      </c>
      <c r="C4" s="4" t="n">
        <v>168350</v>
      </c>
      <c r="D4" s="4" t="n">
        <v>25089929</v>
      </c>
      <c r="E4" s="4" t="n">
        <v>2096877</v>
      </c>
      <c r="F4" s="12" t="n">
        <v>212136</v>
      </c>
      <c r="G4" s="13" t="n">
        <v>27398942</v>
      </c>
      <c r="H4" s="14" t="n">
        <v>2.66</v>
      </c>
      <c r="I4" s="15" t="n">
        <v>18.01</v>
      </c>
      <c r="J4" s="12" t="n">
        <v>31.4</v>
      </c>
      <c r="K4" s="4" t="n">
        <v>5.3</v>
      </c>
      <c r="L4" s="14" t="n">
        <v>6.07</v>
      </c>
      <c r="M4" s="4" t="n">
        <v>40358</v>
      </c>
    </row>
    <row r="5" customFormat="false" ht="12.8" hidden="false" customHeight="false" outlineLevel="0" collapsed="false">
      <c r="A5" s="11" t="n">
        <v>45977</v>
      </c>
      <c r="B5" s="4" t="n">
        <v>17178</v>
      </c>
      <c r="C5" s="4" t="n">
        <v>198341</v>
      </c>
      <c r="D5" s="4" t="n">
        <v>29093278</v>
      </c>
      <c r="E5" s="4" t="n">
        <v>2072723</v>
      </c>
      <c r="F5" s="12" t="n">
        <v>215519</v>
      </c>
      <c r="G5" s="13" t="n">
        <v>31381520</v>
      </c>
      <c r="H5" s="14" t="n">
        <v>3.03</v>
      </c>
      <c r="I5" s="15" t="n">
        <v>19.52</v>
      </c>
      <c r="J5" s="12" t="n">
        <v>31.9</v>
      </c>
      <c r="K5" s="4" t="n">
        <v>5.7</v>
      </c>
      <c r="L5" s="14" t="n">
        <v>6.42</v>
      </c>
      <c r="M5" s="4" t="n">
        <v>38084</v>
      </c>
    </row>
    <row r="6" customFormat="false" ht="12.8" hidden="false" customHeight="false" outlineLevel="0" collapsed="false">
      <c r="A6" s="11" t="n">
        <v>45978</v>
      </c>
      <c r="B6" s="4" t="n">
        <v>11894</v>
      </c>
      <c r="C6" s="4" t="n">
        <v>164400</v>
      </c>
      <c r="D6" s="4" t="n">
        <v>19717657</v>
      </c>
      <c r="E6" s="4" t="n">
        <v>2213330</v>
      </c>
      <c r="F6" s="12" t="n">
        <v>176294</v>
      </c>
      <c r="G6" s="13" t="n">
        <v>22107281</v>
      </c>
      <c r="H6" s="14" t="n">
        <v>2.5</v>
      </c>
      <c r="I6" s="15" t="n">
        <v>16.71</v>
      </c>
      <c r="J6" s="12" t="n">
        <v>26.1</v>
      </c>
      <c r="K6" s="4" t="n">
        <v>4.3</v>
      </c>
      <c r="L6" s="14" t="n">
        <v>7.03</v>
      </c>
      <c r="M6" s="4" t="n">
        <v>41256</v>
      </c>
    </row>
    <row r="7" customFormat="false" ht="12.8" hidden="false" customHeight="false" outlineLevel="0" collapsed="false">
      <c r="A7" s="11" t="n">
        <v>45984</v>
      </c>
      <c r="B7" s="4" t="n">
        <v>8169</v>
      </c>
      <c r="C7" s="4" t="n">
        <v>156254</v>
      </c>
      <c r="D7" s="4" t="n">
        <v>31407437</v>
      </c>
      <c r="E7" s="4" t="n">
        <v>2088326</v>
      </c>
      <c r="F7" s="12" t="n">
        <v>164423</v>
      </c>
      <c r="G7" s="13" t="n">
        <v>33660186</v>
      </c>
      <c r="H7" s="14" t="n">
        <v>2.37</v>
      </c>
      <c r="I7" s="15" t="n">
        <v>19.62</v>
      </c>
      <c r="J7" s="12" t="n">
        <v>24.4</v>
      </c>
      <c r="K7" s="4" t="n">
        <v>6.7</v>
      </c>
      <c r="L7" s="14" t="n">
        <v>4.24</v>
      </c>
      <c r="M7" s="4" t="n">
        <v>24501</v>
      </c>
    </row>
    <row r="8" customFormat="false" ht="12.8" hidden="false" customHeight="false" outlineLevel="0" collapsed="false">
      <c r="A8" s="11" t="n">
        <v>45985</v>
      </c>
      <c r="B8" s="4" t="n">
        <v>32301</v>
      </c>
      <c r="C8" s="4" t="n">
        <v>109557</v>
      </c>
      <c r="D8" s="4" t="n">
        <v>51270286</v>
      </c>
      <c r="E8" s="4" t="n">
        <v>4623208</v>
      </c>
      <c r="F8" s="12" t="n">
        <v>141858</v>
      </c>
      <c r="G8" s="13" t="n">
        <v>56035352</v>
      </c>
      <c r="H8" s="14" t="n">
        <v>1.74</v>
      </c>
      <c r="I8" s="15" t="n">
        <v>34.45</v>
      </c>
      <c r="J8" s="12" t="n">
        <v>21</v>
      </c>
      <c r="K8" s="4" t="n">
        <v>7.7</v>
      </c>
      <c r="L8" s="14" t="n">
        <v>2.72</v>
      </c>
      <c r="M8" s="4" t="n">
        <v>18503</v>
      </c>
    </row>
    <row r="9" customFormat="false" ht="12.8" hidden="false" customHeight="false" outlineLevel="0" collapsed="false">
      <c r="A9" s="11" t="n">
        <v>45986</v>
      </c>
      <c r="B9" s="4" t="n">
        <v>45916</v>
      </c>
      <c r="C9" s="4" t="n">
        <v>136091</v>
      </c>
      <c r="D9" s="4" t="n">
        <v>110246218</v>
      </c>
      <c r="E9" s="4" t="n">
        <v>8920870</v>
      </c>
      <c r="F9" s="12" t="n">
        <v>182007</v>
      </c>
      <c r="G9" s="13" t="n">
        <v>119349095</v>
      </c>
      <c r="H9" s="14" t="n">
        <v>2.18</v>
      </c>
      <c r="I9" s="15" t="n">
        <v>70.78</v>
      </c>
      <c r="J9" s="12" t="n">
        <v>27</v>
      </c>
      <c r="K9" s="4" t="n">
        <v>7.8</v>
      </c>
      <c r="L9" s="14" t="n">
        <v>3.36</v>
      </c>
      <c r="M9" s="4" t="n">
        <v>23376</v>
      </c>
    </row>
    <row r="10" customFormat="false" ht="12.8" hidden="false" customHeight="false" outlineLevel="0" collapsed="false">
      <c r="A10" s="11" t="n">
        <v>45987</v>
      </c>
      <c r="B10" s="4" t="n">
        <v>27291</v>
      </c>
      <c r="C10" s="4" t="n">
        <v>24381</v>
      </c>
      <c r="D10" s="4" t="n">
        <v>78112212</v>
      </c>
      <c r="E10" s="4" t="n">
        <v>8172191</v>
      </c>
      <c r="F10" s="12" t="n">
        <v>51672</v>
      </c>
      <c r="G10" s="13" t="n">
        <v>86336075</v>
      </c>
      <c r="H10" s="14" t="n">
        <v>0.45</v>
      </c>
      <c r="I10" s="15" t="n">
        <v>90.48</v>
      </c>
      <c r="J10" s="12" t="n">
        <v>7.7</v>
      </c>
      <c r="K10" s="4" t="n">
        <v>7.2</v>
      </c>
      <c r="L10" s="14" t="n">
        <v>0.74</v>
      </c>
      <c r="M10" s="4" t="n">
        <v>7166</v>
      </c>
    </row>
    <row r="11" customFormat="false" ht="12.8" hidden="false" customHeight="false" outlineLevel="0" collapsed="false">
      <c r="A11" s="11" t="n">
        <v>45988</v>
      </c>
      <c r="B11" s="4" t="n">
        <v>118850</v>
      </c>
      <c r="C11" s="4" t="n">
        <v>151551</v>
      </c>
      <c r="D11" s="4" t="n">
        <v>152404293</v>
      </c>
      <c r="E11" s="4" t="n">
        <v>10170229</v>
      </c>
      <c r="F11" s="12" t="n">
        <v>270401</v>
      </c>
      <c r="G11" s="13" t="n">
        <v>162844923</v>
      </c>
      <c r="H11" s="14" t="n">
        <v>2.63</v>
      </c>
      <c r="I11" s="15" t="n">
        <v>144.01</v>
      </c>
      <c r="J11" s="12" t="n">
        <v>40.1</v>
      </c>
      <c r="K11" s="4" t="n">
        <v>13.5</v>
      </c>
      <c r="L11" s="14" t="n">
        <v>2.35</v>
      </c>
      <c r="M11" s="4" t="n">
        <v>20103</v>
      </c>
    </row>
    <row r="12" customFormat="false" ht="12.8" hidden="false" customHeight="false" outlineLevel="0" collapsed="false">
      <c r="A12" s="11" t="n">
        <v>45989</v>
      </c>
      <c r="B12" s="4" t="n">
        <v>39652</v>
      </c>
      <c r="C12" s="4" t="n">
        <v>286808</v>
      </c>
      <c r="D12" s="4" t="n">
        <v>137087887</v>
      </c>
      <c r="E12" s="4" t="n">
        <v>7158871</v>
      </c>
      <c r="F12" s="12" t="n">
        <v>326460</v>
      </c>
      <c r="G12" s="13" t="n">
        <v>144573218</v>
      </c>
      <c r="H12" s="14" t="n">
        <v>4.42</v>
      </c>
      <c r="I12" s="15" t="n">
        <v>120.38</v>
      </c>
      <c r="J12" s="12" t="n">
        <v>48.4</v>
      </c>
      <c r="K12" s="4" t="n">
        <v>8</v>
      </c>
      <c r="L12" s="14" t="n">
        <v>6.66</v>
      </c>
      <c r="M12" s="4" t="n">
        <v>40993</v>
      </c>
    </row>
    <row r="13" customFormat="false" ht="12.8" hidden="false" customHeight="false" outlineLevel="0" collapsed="false">
      <c r="A13" s="11" t="n">
        <v>45990</v>
      </c>
      <c r="B13" s="4" t="n">
        <v>52184</v>
      </c>
      <c r="C13" s="4" t="n">
        <v>237167</v>
      </c>
      <c r="D13" s="4" t="n">
        <v>136364075</v>
      </c>
      <c r="E13" s="4" t="n">
        <v>8317117</v>
      </c>
      <c r="F13" s="12" t="n">
        <v>289351</v>
      </c>
      <c r="G13" s="13" t="n">
        <v>144970543</v>
      </c>
      <c r="H13" s="14" t="n">
        <v>3.71</v>
      </c>
      <c r="I13" s="15" t="n">
        <v>123.89</v>
      </c>
      <c r="J13" s="12" t="n">
        <v>42.9</v>
      </c>
      <c r="K13" s="4" t="n">
        <v>10.2</v>
      </c>
      <c r="L13" s="14" t="n">
        <v>4.35</v>
      </c>
      <c r="M13" s="4" t="n">
        <v>28239</v>
      </c>
    </row>
    <row r="14" customFormat="false" ht="12.8" hidden="false" customHeight="false" outlineLevel="0" collapsed="false">
      <c r="A14" s="11" t="n">
        <v>45991</v>
      </c>
      <c r="B14" s="4" t="n">
        <v>12079</v>
      </c>
      <c r="C14" s="4" t="n">
        <v>64012</v>
      </c>
      <c r="D14" s="4" t="n">
        <v>36857187</v>
      </c>
      <c r="E14" s="4" t="n">
        <v>2537142</v>
      </c>
      <c r="F14" s="12" t="n">
        <v>76091</v>
      </c>
      <c r="G14" s="13" t="n">
        <v>39470420</v>
      </c>
      <c r="H14" s="14" t="n">
        <v>1</v>
      </c>
      <c r="I14" s="15" t="n">
        <v>35.48</v>
      </c>
      <c r="J14" s="12" t="n">
        <v>11.3</v>
      </c>
      <c r="K14" s="4" t="n">
        <v>4</v>
      </c>
      <c r="L14" s="14" t="n">
        <v>2.97</v>
      </c>
      <c r="M14" s="4" t="n">
        <v>18875</v>
      </c>
    </row>
    <row r="15" customFormat="false" ht="12.8" hidden="false" customHeight="false" outlineLevel="0" collapsed="false">
      <c r="A15" s="11" t="n">
        <v>45992</v>
      </c>
      <c r="B15" s="4" t="n">
        <v>37414</v>
      </c>
      <c r="C15" s="4" t="n">
        <v>75693</v>
      </c>
      <c r="D15" s="4" t="n">
        <v>30685315</v>
      </c>
      <c r="E15" s="4" t="n">
        <v>1998231</v>
      </c>
      <c r="F15" s="12" t="n">
        <v>113107</v>
      </c>
      <c r="G15" s="13" t="n">
        <v>32796653</v>
      </c>
      <c r="H15" s="14" t="n">
        <v>1.25</v>
      </c>
      <c r="I15" s="15" t="n">
        <v>28.69</v>
      </c>
      <c r="J15" s="12" t="n">
        <v>16.8</v>
      </c>
      <c r="K15" s="4" t="n">
        <v>2.7</v>
      </c>
      <c r="L15" s="14" t="n">
        <v>5.47</v>
      </c>
      <c r="M15" s="4" t="n">
        <v>41287</v>
      </c>
    </row>
    <row r="16" customFormat="false" ht="12.8" hidden="false" customHeight="false" outlineLevel="0" collapsed="false">
      <c r="A16" s="11" t="n">
        <v>45993</v>
      </c>
      <c r="B16" s="4" t="n">
        <v>31291</v>
      </c>
      <c r="C16" s="4" t="n">
        <v>102081</v>
      </c>
      <c r="D16" s="4" t="n">
        <v>69929579</v>
      </c>
      <c r="E16" s="4" t="n">
        <v>7044858</v>
      </c>
      <c r="F16" s="12" t="n">
        <v>133372</v>
      </c>
      <c r="G16" s="13" t="n">
        <v>77107809</v>
      </c>
      <c r="H16" s="14" t="n">
        <v>1.63</v>
      </c>
      <c r="I16" s="15" t="n">
        <v>81.68</v>
      </c>
      <c r="J16" s="12" t="n">
        <v>19.8</v>
      </c>
      <c r="K16" s="4" t="n">
        <v>7.7</v>
      </c>
      <c r="L16" s="14" t="n">
        <v>2.52</v>
      </c>
      <c r="M16" s="4" t="n">
        <v>17219</v>
      </c>
    </row>
    <row r="17" customFormat="false" ht="12.8" hidden="false" customHeight="false" outlineLevel="0" collapsed="false">
      <c r="A17" s="11" t="n">
        <v>45994</v>
      </c>
      <c r="B17" s="4" t="n">
        <v>89697</v>
      </c>
      <c r="C17" s="4" t="n">
        <v>293638</v>
      </c>
      <c r="D17" s="4" t="n">
        <v>170044957</v>
      </c>
      <c r="E17" s="4" t="n">
        <v>11857142</v>
      </c>
      <c r="F17" s="12" t="n">
        <v>383335</v>
      </c>
      <c r="G17" s="13" t="n">
        <v>182285434</v>
      </c>
      <c r="H17" s="14" t="n">
        <v>4.67</v>
      </c>
      <c r="I17" s="15" t="n">
        <v>166.91</v>
      </c>
      <c r="J17" s="12" t="n">
        <v>56.8</v>
      </c>
      <c r="K17" s="4" t="n">
        <v>13.4</v>
      </c>
      <c r="L17" s="14" t="n">
        <v>4.17</v>
      </c>
      <c r="M17" s="4" t="n">
        <v>28503</v>
      </c>
    </row>
    <row r="18" customFormat="false" ht="12.8" hidden="false" customHeight="false" outlineLevel="0" collapsed="false">
      <c r="A18" s="11" t="n">
        <v>45995</v>
      </c>
      <c r="B18" s="4" t="n">
        <v>10585</v>
      </c>
      <c r="C18" s="4" t="n">
        <v>67949</v>
      </c>
      <c r="D18" s="4" t="n">
        <v>38646464</v>
      </c>
      <c r="E18" s="4" t="n">
        <v>3405043</v>
      </c>
      <c r="F18" s="12" t="n">
        <v>78534</v>
      </c>
      <c r="G18" s="13" t="n">
        <v>42130041</v>
      </c>
      <c r="H18" s="14" t="n">
        <v>1.05</v>
      </c>
      <c r="I18" s="15" t="n">
        <v>42.36</v>
      </c>
      <c r="J18" s="12" t="n">
        <v>11.6</v>
      </c>
      <c r="K18" s="4" t="n">
        <v>4.2</v>
      </c>
      <c r="L18" s="14" t="n">
        <v>3.03</v>
      </c>
      <c r="M18" s="4" t="n">
        <v>18838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2025-12-04T15:53:13Z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